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a87\OneDrive\المستندات\قوالب Office المخصصة\"/>
    </mc:Choice>
  </mc:AlternateContent>
  <xr:revisionPtr revIDLastSave="0" documentId="8_{682642FA-3B02-41AB-9A66-F6434882730E}" xr6:coauthVersionLast="47" xr6:coauthVersionMax="47" xr10:uidLastSave="{00000000-0000-0000-0000-000000000000}"/>
  <bookViews>
    <workbookView xWindow="-120" yWindow="-120" windowWidth="38640" windowHeight="21120" xr2:uid="{80DC4884-4763-4C20-9B69-BEEF38EEFD44}"/>
  </bookViews>
  <sheets>
    <sheet name="ورقة1" sheetId="1" r:id="rId1"/>
    <sheet name="ورقة2" sheetId="2" state="hidden" r:id="rId2"/>
    <sheet name="ورقة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2" l="1"/>
  <c r="D2" i="2"/>
  <c r="D3" i="2"/>
  <c r="D4" i="2"/>
  <c r="D6" i="2"/>
  <c r="D7" i="2"/>
  <c r="D8" i="2"/>
</calcChain>
</file>

<file path=xl/sharedStrings.xml><?xml version="1.0" encoding="utf-8"?>
<sst xmlns="http://schemas.openxmlformats.org/spreadsheetml/2006/main" count="47" uniqueCount="35">
  <si>
    <t>Meeting No</t>
  </si>
  <si>
    <t>Date</t>
  </si>
  <si>
    <t>Results</t>
  </si>
  <si>
    <t>Agreed to develop a smart agriculture-related system.</t>
  </si>
  <si>
    <t>Defined the main goals and features.</t>
  </si>
  <si>
    <t>Identified farms, fields, crops, and sensors as core entities.</t>
  </si>
  <si>
    <t>Finalized the initial database design.</t>
  </si>
  <si>
    <t>Prepared project proposal and documentation outline.</t>
  </si>
  <si>
    <t>Reviewed functional and non-functional requirements.</t>
  </si>
  <si>
    <t>Discussed integration of farm management and irrigation monitoring features.</t>
  </si>
  <si>
    <t>Status</t>
  </si>
  <si>
    <t>Completed</t>
  </si>
  <si>
    <t>Members</t>
  </si>
  <si>
    <t>All Group Members</t>
  </si>
  <si>
    <t>Issues Discussed</t>
  </si>
  <si>
    <t>Next Meeting</t>
  </si>
  <si>
    <t>Project idea brainstorming and selecting the project domain.</t>
  </si>
  <si>
    <t>Completed proposal draft.</t>
  </si>
  <si>
    <t>Defined system requirements.</t>
  </si>
  <si>
    <t>Approved final project concept and planning phase.</t>
  </si>
  <si>
    <t>Discussed project objectives and system scope.</t>
  </si>
  <si>
    <t>Reviewed database requirements and possible entities.</t>
  </si>
  <si>
    <t>Discussed relationships between entities and system structure.</t>
  </si>
  <si>
    <t>Task</t>
  </si>
  <si>
    <t>Project Idea Selection</t>
  </si>
  <si>
    <t>Project Scope &amp; Objectives</t>
  </si>
  <si>
    <t>Database Analysis</t>
  </si>
  <si>
    <t>System Design Planning</t>
  </si>
  <si>
    <t>Proposal Preparation</t>
  </si>
  <si>
    <t>Requirements Analysis</t>
  </si>
  <si>
    <t>Final Planning Review</t>
  </si>
  <si>
    <t>Start Date</t>
  </si>
  <si>
    <t>End Date</t>
  </si>
  <si>
    <t xml:space="preserve">  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</si>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</sst>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-409]d\-mmm\-yy;@"/>
  </numFmts>
  <fonts count="7" x14ac:knownFonts="1">
    <font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8"/>
      <name val="Arial"/>
      <family val="2"/>
      <charset val="178"/>
      <scheme val="minor"/>
    </font>
    <font>
      <b/>
      <sz val="18"/>
      <color theme="0"/>
      <name val="Arial Rounded MT Bold"/>
      <family val="2"/>
    </font>
    <font>
      <sz val="11"/>
      <color theme="1"/>
      <name val="Arial Rounded MT Bold"/>
      <family val="2"/>
    </font>
    <font>
      <b/>
      <sz val="16"/>
      <color theme="1"/>
      <name val="Arial Rounded MT Bold"/>
      <family val="2"/>
    </font>
    <font>
      <sz val="18"/>
      <color theme="1"/>
      <name val="Aptos Slab Extra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2689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3" borderId="2" xfId="0" applyFont="1" applyFill="1" applyBorder="1" applyAlignment="1">
      <alignment horizontal="center" vertical="center" wrapText="1" readingOrder="1"/>
    </xf>
    <xf numFmtId="164" fontId="3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4" fillId="0" borderId="0" xfId="0" applyFont="1" applyAlignment="1">
      <alignment horizontal="left" vertical="center" wrapText="1" indent="2" readingOrder="1"/>
    </xf>
    <xf numFmtId="0" fontId="5" fillId="2" borderId="5" xfId="0" applyFont="1" applyFill="1" applyBorder="1" applyAlignment="1">
      <alignment horizontal="center" vertical="center" wrapText="1" readingOrder="1"/>
    </xf>
    <xf numFmtId="0" fontId="5" fillId="2" borderId="7" xfId="0" applyFont="1" applyFill="1" applyBorder="1" applyAlignment="1">
      <alignment horizontal="center" vertical="center" wrapText="1" readingOrder="1"/>
    </xf>
    <xf numFmtId="164" fontId="4" fillId="0" borderId="0" xfId="0" applyNumberFormat="1" applyFont="1" applyAlignment="1">
      <alignment horizontal="left" vertical="center"/>
    </xf>
    <xf numFmtId="0" fontId="3" fillId="3" borderId="3" xfId="0" applyFont="1" applyFill="1" applyBorder="1" applyAlignment="1">
      <alignment horizontal="left" vertical="center" wrapText="1" indent="1" readingOrder="1"/>
    </xf>
    <xf numFmtId="0" fontId="4" fillId="0" borderId="0" xfId="0" applyFont="1" applyAlignment="1">
      <alignment horizontal="left" vertical="center" wrapText="1" indent="3" readingOrder="1"/>
    </xf>
    <xf numFmtId="16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left" vertical="center" wrapText="1" indent="1" readingOrder="1"/>
    </xf>
    <xf numFmtId="0" fontId="5" fillId="2" borderId="6" xfId="0" applyFont="1" applyFill="1" applyBorder="1" applyAlignment="1">
      <alignment horizontal="center" vertical="center" wrapText="1" readingOrder="1"/>
    </xf>
    <xf numFmtId="164" fontId="5" fillId="2" borderId="8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 readingOrder="1"/>
    </xf>
    <xf numFmtId="0" fontId="5" fillId="2" borderId="8" xfId="0" applyFont="1" applyFill="1" applyBorder="1" applyAlignment="1">
      <alignment horizontal="left" vertical="center" wrapText="1" indent="1" readingOrder="1"/>
    </xf>
    <xf numFmtId="0" fontId="5" fillId="2" borderId="9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164" fontId="3" fillId="3" borderId="3" xfId="0" applyNumberFormat="1" applyFont="1" applyFill="1" applyBorder="1" applyAlignment="1">
      <alignment horizontal="center" vertical="center" wrapText="1" readingOrder="1"/>
    </xf>
    <xf numFmtId="164" fontId="5" fillId="2" borderId="1" xfId="0" applyNumberFormat="1" applyFont="1" applyFill="1" applyBorder="1" applyAlignment="1">
      <alignment horizontal="center" vertical="center" wrapText="1" readingOrder="1"/>
    </xf>
    <xf numFmtId="164" fontId="5" fillId="2" borderId="8" xfId="0" applyNumberFormat="1" applyFont="1" applyFill="1" applyBorder="1" applyAlignment="1">
      <alignment horizontal="center" vertical="center" wrapText="1" readingOrder="1"/>
    </xf>
    <xf numFmtId="164" fontId="0" fillId="0" borderId="0" xfId="0" applyNumberFormat="1"/>
    <xf numFmtId="0" fontId="0" fillId="0" borderId="0" xfId="0" applyAlignment="1">
      <alignment wrapText="1"/>
    </xf>
    <xf numFmtId="0" fontId="1" fillId="3" borderId="2" xfId="0" applyFont="1" applyFill="1" applyBorder="1" applyAlignment="1">
      <alignment wrapText="1"/>
    </xf>
    <xf numFmtId="164" fontId="1" fillId="3" borderId="3" xfId="0" applyNumberFormat="1" applyFont="1" applyFill="1" applyBorder="1" applyAlignment="1">
      <alignment wrapText="1"/>
    </xf>
    <xf numFmtId="164" fontId="1" fillId="3" borderId="4" xfId="0" applyNumberFormat="1" applyFont="1" applyFill="1" applyBorder="1" applyAlignment="1">
      <alignment wrapText="1"/>
    </xf>
    <xf numFmtId="0" fontId="0" fillId="0" borderId="5" xfId="0" applyBorder="1" applyAlignment="1">
      <alignment horizontal="left" vertical="center" wrapText="1" indent="1"/>
    </xf>
    <xf numFmtId="164" fontId="0" fillId="0" borderId="6" xfId="0" applyNumberFormat="1" applyBorder="1" applyAlignment="1">
      <alignment horizontal="left" wrapText="1" indent="1"/>
    </xf>
    <xf numFmtId="0" fontId="0" fillId="0" borderId="5" xfId="0" applyBorder="1" applyAlignment="1">
      <alignment horizontal="left" wrapText="1" indent="1"/>
    </xf>
    <xf numFmtId="0" fontId="0" fillId="0" borderId="7" xfId="0" applyBorder="1" applyAlignment="1">
      <alignment horizontal="left" wrapText="1" indent="1"/>
    </xf>
    <xf numFmtId="164" fontId="0" fillId="0" borderId="9" xfId="0" applyNumberFormat="1" applyBorder="1" applyAlignment="1">
      <alignment horizontal="left" wrapText="1" indent="1"/>
    </xf>
    <xf numFmtId="2" fontId="1" fillId="3" borderId="3" xfId="0" applyNumberFormat="1" applyFont="1" applyFill="1" applyBorder="1" applyAlignment="1">
      <alignment wrapText="1"/>
    </xf>
    <xf numFmtId="2" fontId="0" fillId="0" borderId="0" xfId="0" applyNumberFormat="1"/>
    <xf numFmtId="165" fontId="0" fillId="0" borderId="1" xfId="0" applyNumberFormat="1" applyBorder="1" applyAlignment="1">
      <alignment horizontal="left" wrapText="1" indent="1"/>
    </xf>
    <xf numFmtId="165" fontId="0" fillId="0" borderId="8" xfId="0" applyNumberFormat="1" applyBorder="1" applyAlignment="1">
      <alignment horizontal="left" wrapText="1" indent="1"/>
    </xf>
    <xf numFmtId="1" fontId="0" fillId="0" borderId="0" xfId="0" applyNumberFormat="1" applyAlignment="1">
      <alignment horizontal="left" wrapText="1"/>
    </xf>
  </cellXfs>
  <cellStyles count="1">
    <cellStyle name="عادي" xfId="0" builtinId="0"/>
  </cellStyles>
  <dxfs count="21">
    <dxf>
      <numFmt numFmtId="1" formatCode="0"/>
      <alignment horizontal="left" textRotation="0" wrapText="1" relativeIndent="-1" justifyLastLine="0" shrinkToFit="0" readingOrder="0"/>
    </dxf>
    <dxf>
      <numFmt numFmtId="164" formatCode="dd/mm/yyyy;@"/>
      <alignment horizontal="left" textRotation="0" wrapText="1" relativeIndent="-1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5" formatCode="[$-409]d\-mmm\-yy;@"/>
      <alignment horizontal="left" textRotation="0" wrapText="1" relativeIndent="-1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left" textRotation="0" wrapText="1" relativeIndent="-1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textRotation="0" wrapText="1" relativeIndent="-1" justifyLastLine="0" shrinkToFit="0" readingOrder="0"/>
    </dxf>
    <dxf>
      <border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charset val="178"/>
        <scheme val="minor"/>
      </font>
      <fill>
        <patternFill patternType="solid">
          <fgColor indexed="64"/>
          <bgColor rgb="FF326896"/>
        </patternFill>
      </fill>
      <alignment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 Rounded MT Bold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 Rounded MT Bold"/>
        <family val="2"/>
        <scheme val="none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 Rounded MT Bold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 Rounded MT Bold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Slab ExtraBold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 Rounded MT Bold"/>
        <family val="2"/>
        <scheme val="none"/>
      </font>
      <numFmt numFmtId="164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 Rounded MT Bold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 Rounded MT Bold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rial Rounded MT Bold"/>
        <family val="2"/>
        <scheme val="none"/>
      </font>
      <fill>
        <patternFill patternType="solid">
          <fgColor indexed="64"/>
          <bgColor rgb="FF326896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3268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600" b="1" u="none">
                <a:latin typeface="+mj-lt"/>
                <a:cs typeface="+mj-cs"/>
              </a:rPr>
              <a:t>Smart Agriculture Management System - Gantt Chart</a:t>
            </a:r>
            <a:endParaRPr lang="ar-SA" sz="1600" b="1" u="none">
              <a:latin typeface="+mj-lt"/>
              <a:cs typeface="+mj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ar-S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ورقة2!$A$2:$A$8</c:f>
              <c:strCache>
                <c:ptCount val="7"/>
                <c:pt idx="0">
                  <c:v>Project Idea Selection</c:v>
                </c:pt>
                <c:pt idx="1">
                  <c:v>Project Scope &amp; Objectives</c:v>
                </c:pt>
                <c:pt idx="2">
                  <c:v>Database Analysis</c:v>
                </c:pt>
                <c:pt idx="3">
                  <c:v>System Design Planning</c:v>
                </c:pt>
                <c:pt idx="4">
                  <c:v>Proposal Preparation</c:v>
                </c:pt>
                <c:pt idx="5">
                  <c:v>Requirements Analysis</c:v>
                </c:pt>
                <c:pt idx="6">
                  <c:v>Final Planning Review</c:v>
                </c:pt>
              </c:strCache>
            </c:strRef>
          </c:cat>
          <c:val>
            <c:numRef>
              <c:f>ورقة2!$B$2:$B$8</c:f>
              <c:numCache>
                <c:formatCode>[$-409]d\-mmm\-yy;@</c:formatCode>
                <c:ptCount val="7"/>
                <c:pt idx="0">
                  <c:v>46146</c:v>
                </c:pt>
                <c:pt idx="1">
                  <c:v>46153</c:v>
                </c:pt>
                <c:pt idx="2">
                  <c:v>46160</c:v>
                </c:pt>
                <c:pt idx="3">
                  <c:v>46167</c:v>
                </c:pt>
                <c:pt idx="4">
                  <c:v>46174</c:v>
                </c:pt>
                <c:pt idx="5">
                  <c:v>46178</c:v>
                </c:pt>
                <c:pt idx="6">
                  <c:v>46182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C2-446F-829D-FE7468477E6C}"/>
            </c:ext>
          </c:extLst>
        </c:ser>
        <c:ser>
          <c:idx val="1"/>
          <c:order val="1"/>
          <c:tx>
            <c:v>duration</c:v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val>
            <c:numRef>
              <c:f>ورقة2!$D$2:$D$8</c:f>
              <c:numCache>
                <c:formatCode>0</c:formatCode>
                <c:ptCount val="7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C2-446F-829D-FE7468477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51576112"/>
        <c:axId val="1951576592"/>
      </c:barChart>
      <c:catAx>
        <c:axId val="1951576112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951576592"/>
        <c:crosses val="autoZero"/>
        <c:auto val="1"/>
        <c:lblAlgn val="ctr"/>
        <c:lblOffset val="100"/>
        <c:noMultiLvlLbl val="0"/>
      </c:catAx>
      <c:valAx>
        <c:axId val="1951576592"/>
        <c:scaling>
          <c:orientation val="minMax"/>
          <c:max val="46184"/>
          <c:min val="46146"/>
        </c:scaling>
        <c:delete val="0"/>
        <c:axPos val="t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d\-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95157611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 sz="2000" b="1" u="none" baseline="0">
                <a:solidFill>
                  <a:schemeClr val="tx1"/>
                </a:solidFill>
                <a:latin typeface="+mj-lt"/>
                <a:cs typeface="+mj-cs"/>
              </a:rPr>
              <a:t>Smart Agriculture Management System - Gantt Chart</a:t>
            </a:r>
            <a:endParaRPr lang="ar-SA" sz="2000" b="1" u="none" baseline="0">
              <a:solidFill>
                <a:schemeClr val="tx1"/>
              </a:solidFill>
              <a:latin typeface="+mj-lt"/>
              <a:cs typeface="+mj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ar-S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ورقة2!$A$2:$A$8</c:f>
              <c:strCache>
                <c:ptCount val="7"/>
                <c:pt idx="0">
                  <c:v>Project Idea Selection</c:v>
                </c:pt>
                <c:pt idx="1">
                  <c:v>Project Scope &amp; Objectives</c:v>
                </c:pt>
                <c:pt idx="2">
                  <c:v>Database Analysis</c:v>
                </c:pt>
                <c:pt idx="3">
                  <c:v>System Design Planning</c:v>
                </c:pt>
                <c:pt idx="4">
                  <c:v>Proposal Preparation</c:v>
                </c:pt>
                <c:pt idx="5">
                  <c:v>Requirements Analysis</c:v>
                </c:pt>
                <c:pt idx="6">
                  <c:v>Final Planning Review</c:v>
                </c:pt>
              </c:strCache>
            </c:strRef>
          </c:cat>
          <c:val>
            <c:numRef>
              <c:f>ورقة2!$B$2:$B$8</c:f>
              <c:numCache>
                <c:formatCode>[$-409]d\-mmm\-yy;@</c:formatCode>
                <c:ptCount val="7"/>
                <c:pt idx="0">
                  <c:v>46146</c:v>
                </c:pt>
                <c:pt idx="1">
                  <c:v>46153</c:v>
                </c:pt>
                <c:pt idx="2">
                  <c:v>46160</c:v>
                </c:pt>
                <c:pt idx="3">
                  <c:v>46167</c:v>
                </c:pt>
                <c:pt idx="4">
                  <c:v>46174</c:v>
                </c:pt>
                <c:pt idx="5">
                  <c:v>46178</c:v>
                </c:pt>
                <c:pt idx="6">
                  <c:v>46182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2-47B4-8C1C-E75192C9BA52}"/>
            </c:ext>
          </c:extLst>
        </c:ser>
        <c:ser>
          <c:idx val="1"/>
          <c:order val="1"/>
          <c:tx>
            <c:v>duration</c:v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val>
            <c:numRef>
              <c:f>ورقة2!$D$2:$D$8</c:f>
              <c:numCache>
                <c:formatCode>0</c:formatCode>
                <c:ptCount val="7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D2-47B4-8C1C-E75192C9B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51576112"/>
        <c:axId val="1951576592"/>
      </c:barChart>
      <c:catAx>
        <c:axId val="1951576112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951576592"/>
        <c:crosses val="autoZero"/>
        <c:auto val="1"/>
        <c:lblAlgn val="ctr"/>
        <c:lblOffset val="100"/>
        <c:noMultiLvlLbl val="0"/>
      </c:catAx>
      <c:valAx>
        <c:axId val="1951576592"/>
        <c:scaling>
          <c:orientation val="minMax"/>
          <c:max val="46184"/>
          <c:min val="46146"/>
        </c:scaling>
        <c:delete val="0"/>
        <c:axPos val="t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d\-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95157611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150395</xdr:colOff>
      <xdr:row>0</xdr:row>
      <xdr:rowOff>85224</xdr:rowOff>
    </xdr:from>
    <xdr:to>
      <xdr:col>14</xdr:col>
      <xdr:colOff>315829</xdr:colOff>
      <xdr:row>19</xdr:row>
      <xdr:rowOff>105277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E0A0CF2C-2F8C-C4EC-A209-A00F22989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27</xdr:col>
      <xdr:colOff>8282</xdr:colOff>
      <xdr:row>31</xdr:row>
      <xdr:rowOff>107674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54EA4E2F-6739-44E7-9587-30870DB72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AA4A2A-F3DC-4C71-9914-D0B30EAD4061}" name="الجدول5" displayName="الجدول5" ref="A1:G8" totalsRowShown="0" headerRowDxfId="20" dataDxfId="18" headerRowBorderDxfId="19" tableBorderDxfId="17" totalsRowBorderDxfId="16">
  <autoFilter ref="A1:G8" xr:uid="{97AA4A2A-F3DC-4C71-9914-D0B30EAD4061}"/>
  <tableColumns count="7">
    <tableColumn id="1" xr3:uid="{453A5B48-32CC-4DBD-BE48-669AB73EC27B}" name="Meeting No" dataDxfId="15"/>
    <tableColumn id="2" xr3:uid="{2A0C3233-B56A-4D8E-BFAB-F0F030E7911D}" name="Date" dataDxfId="14"/>
    <tableColumn id="3" xr3:uid="{8E338CC4-6A21-49DC-AF9E-B2DE37D745DB}" name="Members" dataDxfId="13"/>
    <tableColumn id="5" xr3:uid="{CF90A3AF-14FC-4FE7-A555-4EFF7CB3A3D3}" name="Issues Discussed" dataDxfId="12"/>
    <tableColumn id="4" xr3:uid="{012163B8-3977-4AAD-96E7-54FDB9FF58B6}" name="Results" dataDxfId="11"/>
    <tableColumn id="6" xr3:uid="{4D5377FF-AA28-4D93-B043-C70AC65582E2}" name="Next Meeting" dataDxfId="10"/>
    <tableColumn id="7" xr3:uid="{846A2807-FD92-405D-9013-5FF0CA8484C7}" name="Status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0CC3E4-4CD6-4E29-8C7E-963913A520E0}" name="الجدول6" displayName="الجدول6" ref="A1:D8" totalsRowShown="0" headerRowDxfId="8" dataDxfId="6" headerRowBorderDxfId="7" tableBorderDxfId="5" totalsRowBorderDxfId="4">
  <autoFilter ref="A1:D8" xr:uid="{860CC3E4-4CD6-4E29-8C7E-963913A520E0}"/>
  <tableColumns count="4">
    <tableColumn id="1" xr3:uid="{EA981153-E401-418C-81CC-314122E18305}" name="Task" dataDxfId="3"/>
    <tableColumn id="2" xr3:uid="{56F6427D-81E5-4368-8461-8888ECC50198}" name="Start Date" dataDxfId="2"/>
    <tableColumn id="3" xr3:uid="{CB719CBA-A0C7-4377-84A6-4E85181F9933}" name="End Date" dataDxfId="1"/>
    <tableColumn id="6" xr3:uid="{B5C308D3-7752-4F5F-9E08-672E6A87014F}" name="Duration" dataDxfId="0">
      <calculatedColumnFormula>C2-B2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6560A-97D3-4AC8-9B64-E6471ADB9DC5}">
  <sheetPr>
    <pageSetUpPr fitToPage="1"/>
  </sheetPr>
  <dimension ref="A1:G8"/>
  <sheetViews>
    <sheetView tabSelected="1" zoomScale="70" zoomScaleNormal="70" workbookViewId="0">
      <selection activeCell="R1" sqref="R1"/>
    </sheetView>
  </sheetViews>
  <sheetFormatPr defaultColWidth="20.625" defaultRowHeight="35.1" customHeight="1" x14ac:dyDescent="0.2"/>
  <cols>
    <col min="1" max="1" width="20.625" style="5" customWidth="1"/>
    <col min="2" max="2" width="20.625" style="8" customWidth="1"/>
    <col min="3" max="3" width="20.625" style="5" customWidth="1"/>
    <col min="4" max="4" width="40.625" style="10" customWidth="1"/>
    <col min="5" max="5" width="40.625" style="5" customWidth="1"/>
    <col min="6" max="6" width="30.625" style="23" customWidth="1"/>
    <col min="7" max="7" width="30.625" style="5" customWidth="1"/>
    <col min="8" max="9" width="20.625" style="5"/>
    <col min="10" max="10" width="0" style="5" hidden="1" customWidth="1"/>
    <col min="11" max="16384" width="20.625" style="5"/>
  </cols>
  <sheetData>
    <row r="1" spans="1:7" ht="32.25" customHeight="1" x14ac:dyDescent="0.2">
      <c r="A1" s="1" t="s">
        <v>0</v>
      </c>
      <c r="B1" s="2" t="s">
        <v>1</v>
      </c>
      <c r="C1" s="3" t="s">
        <v>12</v>
      </c>
      <c r="D1" s="9" t="s">
        <v>14</v>
      </c>
      <c r="E1" s="3" t="s">
        <v>2</v>
      </c>
      <c r="F1" s="20" t="s">
        <v>15</v>
      </c>
      <c r="G1" s="4" t="s">
        <v>10</v>
      </c>
    </row>
    <row r="2" spans="1:7" ht="99.95" customHeight="1" x14ac:dyDescent="0.2">
      <c r="A2" s="6">
        <v>1</v>
      </c>
      <c r="B2" s="11">
        <v>46146</v>
      </c>
      <c r="C2" s="19" t="s">
        <v>13</v>
      </c>
      <c r="D2" s="13" t="s">
        <v>16</v>
      </c>
      <c r="E2" s="12" t="s">
        <v>3</v>
      </c>
      <c r="F2" s="21">
        <v>46153</v>
      </c>
      <c r="G2" s="14" t="s">
        <v>11</v>
      </c>
    </row>
    <row r="3" spans="1:7" ht="99.95" customHeight="1" x14ac:dyDescent="0.2">
      <c r="A3" s="6">
        <v>2</v>
      </c>
      <c r="B3" s="11">
        <v>46153</v>
      </c>
      <c r="C3" s="19" t="s">
        <v>13</v>
      </c>
      <c r="D3" s="13" t="s">
        <v>20</v>
      </c>
      <c r="E3" s="12" t="s">
        <v>4</v>
      </c>
      <c r="F3" s="21">
        <v>46160</v>
      </c>
      <c r="G3" s="14" t="s">
        <v>11</v>
      </c>
    </row>
    <row r="4" spans="1:7" ht="99.95" customHeight="1" x14ac:dyDescent="0.2">
      <c r="A4" s="6">
        <v>3</v>
      </c>
      <c r="B4" s="11">
        <v>46160</v>
      </c>
      <c r="C4" s="19" t="s">
        <v>13</v>
      </c>
      <c r="D4" s="13" t="s">
        <v>21</v>
      </c>
      <c r="E4" s="12" t="s">
        <v>5</v>
      </c>
      <c r="F4" s="21">
        <v>46167</v>
      </c>
      <c r="G4" s="14" t="s">
        <v>11</v>
      </c>
    </row>
    <row r="5" spans="1:7" ht="99.95" customHeight="1" x14ac:dyDescent="0.2">
      <c r="A5" s="6">
        <v>4</v>
      </c>
      <c r="B5" s="11">
        <v>46167</v>
      </c>
      <c r="C5" s="19" t="s">
        <v>13</v>
      </c>
      <c r="D5" s="13" t="s">
        <v>22</v>
      </c>
      <c r="E5" s="12" t="s">
        <v>6</v>
      </c>
      <c r="F5" s="21">
        <v>46174</v>
      </c>
      <c r="G5" s="14" t="s">
        <v>11</v>
      </c>
    </row>
    <row r="6" spans="1:7" ht="99.95" customHeight="1" x14ac:dyDescent="0.2">
      <c r="A6" s="6">
        <v>5</v>
      </c>
      <c r="B6" s="11">
        <v>46174</v>
      </c>
      <c r="C6" s="19" t="s">
        <v>13</v>
      </c>
      <c r="D6" s="13" t="s">
        <v>7</v>
      </c>
      <c r="E6" s="12" t="s">
        <v>17</v>
      </c>
      <c r="F6" s="21">
        <v>46178</v>
      </c>
      <c r="G6" s="14" t="s">
        <v>11</v>
      </c>
    </row>
    <row r="7" spans="1:7" ht="99.95" customHeight="1" x14ac:dyDescent="0.2">
      <c r="A7" s="6">
        <v>6</v>
      </c>
      <c r="B7" s="11">
        <v>46178</v>
      </c>
      <c r="C7" s="19" t="s">
        <v>13</v>
      </c>
      <c r="D7" s="13" t="s">
        <v>8</v>
      </c>
      <c r="E7" s="12" t="s">
        <v>18</v>
      </c>
      <c r="F7" s="21">
        <v>46182</v>
      </c>
      <c r="G7" s="14" t="s">
        <v>11</v>
      </c>
    </row>
    <row r="8" spans="1:7" ht="99.95" customHeight="1" x14ac:dyDescent="0.2">
      <c r="A8" s="7">
        <v>8</v>
      </c>
      <c r="B8" s="15">
        <v>46182</v>
      </c>
      <c r="C8" s="19" t="s">
        <v>13</v>
      </c>
      <c r="D8" s="17" t="s">
        <v>9</v>
      </c>
      <c r="E8" s="16" t="s">
        <v>19</v>
      </c>
      <c r="F8" s="22">
        <v>46184</v>
      </c>
      <c r="G8" s="18" t="s">
        <v>11</v>
      </c>
    </row>
  </sheetData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4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C5482-26B6-4996-8A5E-EE0936EB64B0}">
  <dimension ref="A1:E12"/>
  <sheetViews>
    <sheetView zoomScale="52" zoomScaleNormal="52" workbookViewId="0">
      <selection activeCell="C12" sqref="C12"/>
    </sheetView>
  </sheetViews>
  <sheetFormatPr defaultRowHeight="14.25" x14ac:dyDescent="0.2"/>
  <cols>
    <col min="1" max="1" width="25.625" customWidth="1"/>
    <col min="2" max="2" width="13.375" customWidth="1"/>
    <col min="3" max="3" width="13.75" customWidth="1"/>
    <col min="4" max="4" width="13.5" style="34" customWidth="1"/>
    <col min="5" max="5" width="11" customWidth="1"/>
  </cols>
  <sheetData>
    <row r="1" spans="1:5" ht="15" x14ac:dyDescent="0.25">
      <c r="A1" s="25" t="s">
        <v>23</v>
      </c>
      <c r="B1" s="26" t="s">
        <v>31</v>
      </c>
      <c r="C1" s="27" t="s">
        <v>32</v>
      </c>
      <c r="D1" s="33" t="s">
        <v>34</v>
      </c>
    </row>
    <row r="2" spans="1:5" x14ac:dyDescent="0.2">
      <c r="A2" s="28" t="s">
        <v>24</v>
      </c>
      <c r="B2" s="35">
        <v>46146</v>
      </c>
      <c r="C2" s="29">
        <v>46153</v>
      </c>
      <c r="D2" s="37">
        <f t="shared" ref="D2:D8" si="0">C2-B2</f>
        <v>7</v>
      </c>
      <c r="E2" s="24"/>
    </row>
    <row r="3" spans="1:5" x14ac:dyDescent="0.2">
      <c r="A3" s="30" t="s">
        <v>25</v>
      </c>
      <c r="B3" s="35">
        <v>46153</v>
      </c>
      <c r="C3" s="29">
        <v>46160</v>
      </c>
      <c r="D3" s="37">
        <f t="shared" si="0"/>
        <v>7</v>
      </c>
      <c r="E3" s="24"/>
    </row>
    <row r="4" spans="1:5" x14ac:dyDescent="0.2">
      <c r="A4" s="30" t="s">
        <v>26</v>
      </c>
      <c r="B4" s="35">
        <v>46160</v>
      </c>
      <c r="C4" s="29">
        <v>46167</v>
      </c>
      <c r="D4" s="37">
        <f t="shared" si="0"/>
        <v>7</v>
      </c>
      <c r="E4" s="24"/>
    </row>
    <row r="5" spans="1:5" x14ac:dyDescent="0.2">
      <c r="A5" s="30" t="s">
        <v>27</v>
      </c>
      <c r="B5" s="35">
        <v>46167</v>
      </c>
      <c r="C5" s="29">
        <v>46174</v>
      </c>
      <c r="D5" s="37">
        <f>C5-B5</f>
        <v>7</v>
      </c>
      <c r="E5" s="24"/>
    </row>
    <row r="6" spans="1:5" x14ac:dyDescent="0.2">
      <c r="A6" s="30" t="s">
        <v>28</v>
      </c>
      <c r="B6" s="35">
        <v>46174</v>
      </c>
      <c r="C6" s="29">
        <v>46178</v>
      </c>
      <c r="D6" s="37">
        <f t="shared" si="0"/>
        <v>4</v>
      </c>
      <c r="E6" s="24"/>
    </row>
    <row r="7" spans="1:5" x14ac:dyDescent="0.2">
      <c r="A7" s="30" t="s">
        <v>29</v>
      </c>
      <c r="B7" s="35">
        <v>46178</v>
      </c>
      <c r="C7" s="29">
        <v>46182</v>
      </c>
      <c r="D7" s="37">
        <f t="shared" si="0"/>
        <v>4</v>
      </c>
      <c r="E7" s="24"/>
    </row>
    <row r="8" spans="1:5" x14ac:dyDescent="0.2">
      <c r="A8" s="31" t="s">
        <v>30</v>
      </c>
      <c r="B8" s="36">
        <v>46182</v>
      </c>
      <c r="C8" s="32">
        <v>46184</v>
      </c>
      <c r="D8" s="37">
        <f t="shared" si="0"/>
        <v>2</v>
      </c>
      <c r="E8" s="24"/>
    </row>
    <row r="10" spans="1:5" x14ac:dyDescent="0.2">
      <c r="D10" s="34" t="s">
        <v>33</v>
      </c>
    </row>
    <row r="11" spans="1:5" x14ac:dyDescent="0.2">
      <c r="B11" s="34"/>
      <c r="D11"/>
    </row>
    <row r="12" spans="1:5" x14ac:dyDescent="0.2">
      <c r="C12" s="34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B893-2360-451B-A6FC-855C7602CC08}">
  <dimension ref="A1"/>
  <sheetViews>
    <sheetView zoomScale="115" zoomScaleNormal="115" workbookViewId="0">
      <selection activeCell="AA36" sqref="A1:XFD1048576"/>
    </sheetView>
  </sheetViews>
  <sheetFormatPr defaultRowHeight="14.25" x14ac:dyDescent="0.2"/>
  <sheetData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حامد العمري</dc:creator>
  <cp:lastModifiedBy>حامد العمري</cp:lastModifiedBy>
  <cp:lastPrinted>2026-06-11T20:33:13Z</cp:lastPrinted>
  <dcterms:created xsi:type="dcterms:W3CDTF">2026-06-11T16:35:12Z</dcterms:created>
  <dcterms:modified xsi:type="dcterms:W3CDTF">2026-06-11T20:44:28Z</dcterms:modified>
  <cp:contentStatus>نهائي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